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動作原理" sheetId="1" state="visible" r:id="rId1"/>
    <sheet name="環境" sheetId="2" state="visible" r:id="rId2"/>
    <sheet name="監視設定" sheetId="3" state="visible" r:id="rId3"/>
    <sheet name="チェックシート" sheetId="4" state="hidden" r:id="rId4"/>
    <sheet name="AutoTemplate.ymlチェック" sheetId="5" state="hidden" r:id="rId5"/>
    <sheet name="サービス追加方法" sheetId="6" state="hidden" r:id="rId6"/>
  </sheets>
  <definedNames/>
  <calcPr calcId="191029" fullCalcOnLoad="1"/>
</workbook>
</file>

<file path=xl/styles.xml><?xml version="1.0" encoding="utf-8"?>
<styleSheet xmlns="http://schemas.openxmlformats.org/spreadsheetml/2006/main">
  <numFmts count="0"/>
  <fonts count="15">
    <font>
      <name val="游ゴシック"/>
      <charset val="128"/>
      <family val="2"/>
      <color theme="1"/>
      <sz val="11"/>
      <scheme val="minor"/>
    </font>
    <font>
      <name val="游ゴシック"/>
      <charset val="128"/>
      <family val="2"/>
      <sz val="6"/>
      <scheme val="minor"/>
    </font>
    <font>
      <name val="メイリオ"/>
      <charset val="128"/>
      <family val="3"/>
      <color theme="1"/>
      <sz val="11"/>
    </font>
    <font>
      <name val="メイリオ"/>
      <charset val="128"/>
      <family val="3"/>
      <b val="1"/>
      <color theme="1"/>
      <sz val="11"/>
    </font>
    <font>
      <name val="メイリオ"/>
      <charset val="128"/>
      <family val="3"/>
      <sz val="11"/>
    </font>
    <font>
      <name val="游ゴシック"/>
      <charset val="128"/>
      <family val="3"/>
      <sz val="6"/>
      <scheme val="minor"/>
    </font>
    <font>
      <name val="游ゴシック"/>
      <charset val="128"/>
      <family val="3"/>
      <color rgb="FFFF0000"/>
      <sz val="11"/>
      <scheme val="minor"/>
    </font>
    <font>
      <name val="游ゴシック"/>
      <charset val="128"/>
      <family val="3"/>
      <b val="1"/>
      <color rgb="FFFF0000"/>
      <sz val="11"/>
      <scheme val="minor"/>
    </font>
    <font>
      <name val="游ゴシック"/>
      <family val="2"/>
      <color theme="1"/>
      <sz val="11"/>
      <scheme val="minor"/>
    </font>
    <font>
      <name val="游ゴシック"/>
      <charset val="128"/>
      <family val="3"/>
      <sz val="11"/>
      <scheme val="minor"/>
    </font>
    <font>
      <name val="游ゴシック"/>
      <charset val="128"/>
      <family val="3"/>
      <color theme="1"/>
      <sz val="11"/>
      <scheme val="minor"/>
    </font>
    <font>
      <name val="游ゴシック"/>
      <charset val="128"/>
      <family val="3"/>
      <b val="1"/>
      <color theme="1"/>
      <sz val="14"/>
      <scheme val="minor"/>
    </font>
    <font>
      <name val="游ゴシック"/>
      <family val="2"/>
      <color theme="10"/>
      <sz val="11"/>
      <u val="single"/>
      <scheme val="minor"/>
    </font>
    <font>
      <name val="Segoe UI"/>
      <family val="2"/>
      <color theme="1"/>
      <sz val="11"/>
    </font>
    <font>
      <name val="游ゴシック"/>
      <charset val="128"/>
      <family val="2"/>
      <color theme="10"/>
      <sz val="11"/>
      <u val="single"/>
      <scheme val="minor"/>
    </font>
  </fonts>
  <fills count="9">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5" tint="0.7999816888943144"/>
        <bgColor indexed="64"/>
      </patternFill>
    </fill>
    <fill>
      <patternFill patternType="solid">
        <fgColor rgb="FF92D050"/>
        <bgColor indexed="64"/>
      </patternFill>
    </fill>
    <fill>
      <patternFill patternType="solid">
        <fgColor rgb="FF99FFCC"/>
        <bgColor indexed="64"/>
      </patternFill>
    </fill>
  </fills>
  <borders count="2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top style="thin">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s>
  <cellStyleXfs count="4">
    <xf numFmtId="0" fontId="0" fillId="0" borderId="0" applyAlignment="1">
      <alignment vertical="center"/>
    </xf>
    <xf numFmtId="0" fontId="8" fillId="0" borderId="0"/>
    <xf numFmtId="0" fontId="12" fillId="0" borderId="0"/>
    <xf numFmtId="0" fontId="14" fillId="0" borderId="0" applyAlignment="1">
      <alignment vertical="center"/>
    </xf>
  </cellStyleXfs>
  <cellXfs count="94">
    <xf numFmtId="0" fontId="0" fillId="0" borderId="0" applyAlignment="1" pivotButton="0" quotePrefix="0" xfId="0">
      <alignment vertical="center"/>
    </xf>
    <xf numFmtId="0" fontId="2" fillId="0" borderId="0" applyAlignment="1" pivotButton="0" quotePrefix="0" xfId="0">
      <alignment horizontal="left" vertical="top"/>
    </xf>
    <xf numFmtId="0" fontId="2" fillId="0" borderId="0" applyAlignment="1" pivotButton="0" quotePrefix="0" xfId="0">
      <alignment vertical="top"/>
    </xf>
    <xf numFmtId="0" fontId="2" fillId="0" borderId="0" applyAlignment="1" pivotButton="0" quotePrefix="0" xfId="0">
      <alignment horizontal="center" vertical="top"/>
    </xf>
    <xf numFmtId="0" fontId="2" fillId="0" borderId="0" applyAlignment="1" pivotButton="0" quotePrefix="0" xfId="0">
      <alignment horizontal="left" vertical="top" wrapText="1"/>
    </xf>
    <xf numFmtId="0" fontId="2" fillId="0" borderId="1" applyAlignment="1" pivotButton="0" quotePrefix="0" xfId="0">
      <alignment horizontal="left" vertical="top"/>
    </xf>
    <xf numFmtId="0" fontId="3" fillId="2" borderId="3" applyAlignment="1" pivotButton="0" quotePrefix="0" xfId="0">
      <alignment vertical="top"/>
    </xf>
    <xf numFmtId="0" fontId="3" fillId="2" borderId="4" applyAlignment="1" pivotButton="0" quotePrefix="0" xfId="0">
      <alignment vertical="top"/>
    </xf>
    <xf numFmtId="0" fontId="3" fillId="2" borderId="5" applyAlignment="1" pivotButton="0" quotePrefix="0" xfId="0">
      <alignment vertical="top"/>
    </xf>
    <xf numFmtId="0" fontId="2" fillId="0" borderId="1" applyAlignment="1" pivotButton="0" quotePrefix="0" xfId="0">
      <alignment horizontal="left" vertical="top" wrapText="1"/>
    </xf>
    <xf numFmtId="0" fontId="3" fillId="2" borderId="7" applyAlignment="1" pivotButton="0" quotePrefix="0" xfId="0">
      <alignment horizontal="left" vertical="top" wrapText="1"/>
    </xf>
    <xf numFmtId="0" fontId="4" fillId="3" borderId="7" applyAlignment="1" pivotButton="0" quotePrefix="0" xfId="0">
      <alignment horizontal="center" vertical="top"/>
    </xf>
    <xf numFmtId="9" fontId="4" fillId="3" borderId="7" applyAlignment="1" pivotButton="0" quotePrefix="0" xfId="0">
      <alignment horizontal="center" vertical="top" wrapText="1"/>
    </xf>
    <xf numFmtId="9" fontId="4" fillId="3" borderId="7" applyAlignment="1" pivotButton="0" quotePrefix="0" xfId="0">
      <alignment vertical="top" wrapText="1"/>
    </xf>
    <xf numFmtId="0" fontId="4" fillId="3" borderId="7" applyAlignment="1" pivotButton="0" quotePrefix="0" xfId="0">
      <alignment horizontal="center" vertical="center"/>
    </xf>
    <xf numFmtId="0" fontId="0" fillId="0" borderId="0" pivotButton="0" quotePrefix="0" xfId="0"/>
    <xf numFmtId="0" fontId="0" fillId="0" borderId="7" pivotButton="0" quotePrefix="0" xfId="0"/>
    <xf numFmtId="0" fontId="0" fillId="0" borderId="7" applyAlignment="1" pivotButton="0" quotePrefix="0" xfId="0">
      <alignment horizontal="center"/>
    </xf>
    <xf numFmtId="14" fontId="0" fillId="0" borderId="7" applyAlignment="1" pivotButton="0" quotePrefix="0" xfId="0">
      <alignment horizontal="center"/>
    </xf>
    <xf numFmtId="0" fontId="0" fillId="0" borderId="7" applyAlignment="1" pivotButton="0" quotePrefix="0" xfId="0">
      <alignment wrapText="1"/>
    </xf>
    <xf numFmtId="0" fontId="0" fillId="4" borderId="7" pivotButton="0" quotePrefix="0" xfId="0"/>
    <xf numFmtId="0" fontId="0" fillId="0" borderId="2" applyAlignment="1" pivotButton="0" quotePrefix="0" xfId="0">
      <alignment horizontal="left" vertical="top"/>
    </xf>
    <xf numFmtId="0" fontId="0" fillId="5" borderId="7" pivotButton="0" quotePrefix="0" xfId="0"/>
    <xf numFmtId="0" fontId="0" fillId="5" borderId="7" applyAlignment="1" pivotButton="0" quotePrefix="0" xfId="0">
      <alignment horizontal="center"/>
    </xf>
    <xf numFmtId="14" fontId="0" fillId="5" borderId="7" applyAlignment="1" pivotButton="0" quotePrefix="0" xfId="0">
      <alignment horizontal="center"/>
    </xf>
    <xf numFmtId="0" fontId="0" fillId="0" borderId="0" applyAlignment="1" pivotButton="0" quotePrefix="0" xfId="0">
      <alignment horizontal="center"/>
    </xf>
    <xf numFmtId="14" fontId="0" fillId="0" borderId="0" applyAlignment="1" pivotButton="0" quotePrefix="0" xfId="0">
      <alignment horizontal="center"/>
    </xf>
    <xf numFmtId="0" fontId="7" fillId="0" borderId="0" pivotButton="0" quotePrefix="0" xfId="0"/>
    <xf numFmtId="0" fontId="8" fillId="0" borderId="0" pivotButton="0" quotePrefix="0" xfId="1"/>
    <xf numFmtId="14" fontId="8" fillId="0" borderId="0" pivotButton="0" quotePrefix="0" xfId="1"/>
    <xf numFmtId="0" fontId="8" fillId="0" borderId="7" applyAlignment="1" pivotButton="0" quotePrefix="0" xfId="1">
      <alignment horizontal="left" vertical="top" wrapText="1"/>
    </xf>
    <xf numFmtId="0" fontId="8" fillId="0" borderId="7" applyAlignment="1" pivotButton="0" quotePrefix="0" xfId="1">
      <alignment vertical="center" wrapText="1"/>
    </xf>
    <xf numFmtId="0" fontId="9" fillId="0" borderId="6" applyAlignment="1" pivotButton="0" quotePrefix="0" xfId="1">
      <alignment horizontal="left" vertical="center" wrapText="1"/>
    </xf>
    <xf numFmtId="0" fontId="8" fillId="0" borderId="7" applyAlignment="1" pivotButton="0" quotePrefix="0" xfId="1">
      <alignment wrapText="1"/>
    </xf>
    <xf numFmtId="0" fontId="9" fillId="6" borderId="5" applyAlignment="1" pivotButton="0" quotePrefix="0" xfId="1">
      <alignment vertical="center" wrapText="1"/>
    </xf>
    <xf numFmtId="0" fontId="9" fillId="6" borderId="4" applyAlignment="1" pivotButton="0" quotePrefix="0" xfId="1">
      <alignment vertical="center" wrapText="1"/>
    </xf>
    <xf numFmtId="0" fontId="9" fillId="6" borderId="3" applyAlignment="1" pivotButton="0" quotePrefix="0" xfId="1">
      <alignment vertical="center" wrapText="1"/>
    </xf>
    <xf numFmtId="0" fontId="8" fillId="5" borderId="7" applyAlignment="1" pivotButton="0" quotePrefix="0" xfId="1">
      <alignment wrapText="1"/>
    </xf>
    <xf numFmtId="14" fontId="8" fillId="5" borderId="7" applyAlignment="1" pivotButton="0" quotePrefix="0" xfId="1">
      <alignment wrapText="1"/>
    </xf>
    <xf numFmtId="0" fontId="8" fillId="0" borderId="0" applyAlignment="1" pivotButton="0" quotePrefix="0" xfId="1">
      <alignment horizontal="left" vertical="top"/>
    </xf>
    <xf numFmtId="0" fontId="8" fillId="0" borderId="7" pivotButton="0" quotePrefix="0" xfId="1"/>
    <xf numFmtId="0" fontId="8" fillId="5" borderId="5" applyAlignment="1" pivotButton="0" quotePrefix="0" xfId="1">
      <alignment horizontal="right"/>
    </xf>
    <xf numFmtId="0" fontId="8" fillId="5" borderId="3" applyAlignment="1" pivotButton="0" quotePrefix="0" xfId="1">
      <alignment horizontal="left" vertical="center"/>
    </xf>
    <xf numFmtId="0" fontId="8" fillId="0" borderId="13" pivotButton="0" quotePrefix="0" xfId="1"/>
    <xf numFmtId="0" fontId="8" fillId="5" borderId="16" applyAlignment="1" pivotButton="0" quotePrefix="0" xfId="1">
      <alignment horizontal="right"/>
    </xf>
    <xf numFmtId="0" fontId="11" fillId="0" borderId="0" pivotButton="0" quotePrefix="0" xfId="1"/>
    <xf numFmtId="14" fontId="8" fillId="0" borderId="7" applyAlignment="1" pivotButton="0" quotePrefix="0" xfId="1">
      <alignment horizontal="left"/>
    </xf>
    <xf numFmtId="0" fontId="8" fillId="5" borderId="5" applyAlignment="1" pivotButton="0" quotePrefix="0" xfId="1">
      <alignment horizontal="right" vertical="center"/>
    </xf>
    <xf numFmtId="0" fontId="8" fillId="5" borderId="3" pivotButton="0" quotePrefix="0" xfId="1"/>
    <xf numFmtId="0" fontId="11" fillId="0" borderId="0" applyAlignment="1" pivotButton="0" quotePrefix="0" xfId="1">
      <alignment vertical="center"/>
    </xf>
    <xf numFmtId="0" fontId="8" fillId="0" borderId="0" applyAlignment="1" pivotButton="0" quotePrefix="0" xfId="1">
      <alignment wrapText="1"/>
    </xf>
    <xf numFmtId="0" fontId="8" fillId="0" borderId="0" applyAlignment="1" pivotButton="0" quotePrefix="0" xfId="1">
      <alignment vertical="top" wrapText="1"/>
    </xf>
    <xf numFmtId="0" fontId="12" fillId="0" borderId="0" pivotButton="0" quotePrefix="0" xfId="2"/>
    <xf numFmtId="0" fontId="0" fillId="0" borderId="7" applyAlignment="1" pivotButton="0" quotePrefix="0" xfId="0">
      <alignment vertical="center"/>
    </xf>
    <xf numFmtId="0" fontId="13" fillId="0" borderId="7" applyAlignment="1" pivotButton="0" quotePrefix="0" xfId="0">
      <alignment vertical="center" wrapText="1"/>
    </xf>
    <xf numFmtId="0" fontId="0" fillId="0" borderId="7" applyAlignment="1" pivotButton="0" quotePrefix="0" xfId="0">
      <alignment vertical="center" wrapText="1"/>
    </xf>
    <xf numFmtId="14" fontId="0" fillId="0" borderId="7" applyAlignment="1" pivotButton="0" quotePrefix="0" xfId="0">
      <alignment vertical="center"/>
    </xf>
    <xf numFmtId="0" fontId="3" fillId="2" borderId="7" applyAlignment="1" pivotButton="0" quotePrefix="0" xfId="0">
      <alignment vertical="top" wrapText="1"/>
    </xf>
    <xf numFmtId="0" fontId="4" fillId="3" borderId="7" applyAlignment="1" pivotButton="0" quotePrefix="0" xfId="0">
      <alignment vertical="top" wrapText="1"/>
    </xf>
    <xf numFmtId="0" fontId="3" fillId="7" borderId="7" applyAlignment="1" pivotButton="0" quotePrefix="0" xfId="0">
      <alignment horizontal="left" vertical="top" wrapText="1"/>
    </xf>
    <xf numFmtId="0" fontId="4" fillId="8" borderId="7" applyAlignment="1" pivotButton="0" quotePrefix="0" xfId="0">
      <alignment horizontal="center" vertical="top" wrapText="1"/>
    </xf>
    <xf numFmtId="0" fontId="4" fillId="8" borderId="7" applyAlignment="1" pivotButton="0" quotePrefix="0" xfId="0">
      <alignment horizontal="center" vertical="top"/>
    </xf>
    <xf numFmtId="0" fontId="4" fillId="8" borderId="7" applyAlignment="1" pivotButton="0" quotePrefix="0" xfId="0">
      <alignment horizontal="left" vertical="top" wrapText="1"/>
    </xf>
    <xf numFmtId="0" fontId="14" fillId="0" borderId="0" applyAlignment="1" pivotButton="0" quotePrefix="0" xfId="3">
      <alignment vertical="center"/>
    </xf>
    <xf numFmtId="0" fontId="4" fillId="3" borderId="7" applyAlignment="1" pivotButton="0" quotePrefix="0" xfId="0">
      <alignment vertical="top"/>
    </xf>
    <xf numFmtId="0" fontId="4" fillId="3" borderId="7" applyAlignment="1" pivotButton="0" quotePrefix="0" xfId="0">
      <alignment horizontal="center" vertical="top" wrapText="1"/>
    </xf>
    <xf numFmtId="0" fontId="3" fillId="2" borderId="2" applyAlignment="1" pivotButton="0" quotePrefix="0" xfId="0">
      <alignment horizontal="left" vertical="top" wrapText="1"/>
    </xf>
    <xf numFmtId="0" fontId="2" fillId="0" borderId="6" applyAlignment="1" pivotButton="0" quotePrefix="0" xfId="0">
      <alignment horizontal="left" vertical="top"/>
    </xf>
    <xf numFmtId="0" fontId="3" fillId="7" borderId="17" applyAlignment="1" pivotButton="0" quotePrefix="0" xfId="0">
      <alignment horizontal="left" vertical="top"/>
    </xf>
    <xf numFmtId="0" fontId="2" fillId="0" borderId="13" applyAlignment="1" pivotButton="0" quotePrefix="0" xfId="0">
      <alignment horizontal="left" vertical="top"/>
    </xf>
    <xf numFmtId="0" fontId="2" fillId="0" borderId="18" applyAlignment="1" pivotButton="0" quotePrefix="0" xfId="0">
      <alignment horizontal="left" vertical="top"/>
    </xf>
    <xf numFmtId="0" fontId="0" fillId="0" borderId="2" applyAlignment="1" pivotButton="0" quotePrefix="0" xfId="0">
      <alignment horizontal="left" vertical="top"/>
    </xf>
    <xf numFmtId="0" fontId="0" fillId="0" borderId="8" applyAlignment="1" pivotButton="0" quotePrefix="0" xfId="0">
      <alignment horizontal="left" vertical="top"/>
    </xf>
    <xf numFmtId="0" fontId="0" fillId="0" borderId="6" applyAlignment="1" pivotButton="0" quotePrefix="0" xfId="0">
      <alignment horizontal="left" vertical="top"/>
    </xf>
    <xf numFmtId="0" fontId="10" fillId="0" borderId="15" applyAlignment="1" pivotButton="0" quotePrefix="0" xfId="1">
      <alignment horizontal="left" vertical="top" wrapText="1"/>
    </xf>
    <xf numFmtId="0" fontId="10" fillId="0" borderId="14" applyAlignment="1" pivotButton="0" quotePrefix="0" xfId="1">
      <alignment horizontal="left" vertical="top"/>
    </xf>
    <xf numFmtId="0" fontId="10" fillId="0" borderId="12" applyAlignment="1" pivotButton="0" quotePrefix="0" xfId="1">
      <alignment horizontal="left" vertical="top"/>
    </xf>
    <xf numFmtId="0" fontId="10" fillId="0" borderId="11" applyAlignment="1" pivotButton="0" quotePrefix="0" xfId="1">
      <alignment horizontal="left" vertical="top"/>
    </xf>
    <xf numFmtId="0" fontId="10" fillId="0" borderId="10" applyAlignment="1" pivotButton="0" quotePrefix="0" xfId="1">
      <alignment horizontal="left" vertical="top"/>
    </xf>
    <xf numFmtId="0" fontId="10" fillId="0" borderId="9" applyAlignment="1" pivotButton="0" quotePrefix="0" xfId="1">
      <alignment horizontal="left" vertical="top"/>
    </xf>
    <xf numFmtId="0" fontId="9" fillId="0" borderId="2" applyAlignment="1" pivotButton="0" quotePrefix="0" xfId="1">
      <alignment horizontal="left" vertical="center" wrapText="1"/>
    </xf>
    <xf numFmtId="0" fontId="9" fillId="0" borderId="8" applyAlignment="1" pivotButton="0" quotePrefix="0" xfId="1">
      <alignment horizontal="left" vertical="center" wrapText="1"/>
    </xf>
    <xf numFmtId="0" fontId="3" fillId="7" borderId="2" applyAlignment="1" pivotButton="0" quotePrefix="0" xfId="0">
      <alignment horizontal="left" vertical="top"/>
    </xf>
    <xf numFmtId="0" fontId="0" fillId="0" borderId="13" pivotButton="0" quotePrefix="0" xfId="0"/>
    <xf numFmtId="0" fontId="0" fillId="0" borderId="18" pivotButton="0" quotePrefix="0" xfId="0"/>
    <xf numFmtId="0" fontId="0" fillId="0" borderId="6" pivotButton="0" quotePrefix="0" xfId="0"/>
    <xf numFmtId="0" fontId="0" fillId="0" borderId="7" applyAlignment="1" pivotButton="0" quotePrefix="0" xfId="0">
      <alignment horizontal="left" vertical="top"/>
    </xf>
    <xf numFmtId="0" fontId="0" fillId="0" borderId="8" pivotButton="0" quotePrefix="0" xfId="0"/>
    <xf numFmtId="0" fontId="10" fillId="0" borderId="20" applyAlignment="1" pivotButton="0" quotePrefix="0" xfId="1">
      <alignment horizontal="left" vertical="top" wrapText="1"/>
    </xf>
    <xf numFmtId="0" fontId="0" fillId="0" borderId="14" pivotButton="0" quotePrefix="0" xfId="0"/>
    <xf numFmtId="0" fontId="0" fillId="0" borderId="12" pivotButton="0" quotePrefix="0" xfId="0"/>
    <xf numFmtId="0" fontId="0" fillId="0" borderId="11" pivotButton="0" quotePrefix="0" xfId="0"/>
    <xf numFmtId="0" fontId="0" fillId="0" borderId="10" pivotButton="0" quotePrefix="0" xfId="0"/>
    <xf numFmtId="0" fontId="0" fillId="0" borderId="9" pivotButton="0" quotePrefix="0" xfId="0"/>
  </cellXfs>
  <cellStyles count="4">
    <cellStyle name="標準" xfId="0" builtinId="0"/>
    <cellStyle name="標準 2" xfId="1"/>
    <cellStyle name="ハイパーリンク 2" xfId="2"/>
    <cellStyle name="ハイパーリンク"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Relationships xmlns="http://schemas.openxmlformats.org/package/2006/relationships"><Relationship Type="http://schemas.openxmlformats.org/officeDocument/2006/relationships/hyperlink" Target="https://www.moongift.jp/2014/03/winsw-%E4%BB%BB%E6%84%8F%E3%81%AE%E3%83%97%E3%83%AD%E3%82%B0%E3%83%A9%E3%83%A0%E3%82%92windows%E3%81%AE%E3%82%B5%E3%83%BC%E3%83%93%E3%82%B9%E3%81%AB/" TargetMode="External" Id="rId1" /></Relationships>
</file>

<file path=xl/worksheets/sheet1.xml><?xml version="1.0" encoding="utf-8"?>
<worksheet xmlns="http://schemas.openxmlformats.org/spreadsheetml/2006/main">
  <sheetPr>
    <outlinePr summaryBelow="1" summaryRight="1"/>
    <pageSetUpPr/>
  </sheetPr>
  <dimension ref="A1:A7"/>
  <sheetViews>
    <sheetView workbookViewId="0">
      <selection activeCell="F11" sqref="F11"/>
    </sheetView>
  </sheetViews>
  <sheetFormatPr baseColWidth="8" defaultRowHeight="18.75"/>
  <sheetData>
    <row r="1"/>
    <row r="2">
      <c r="A2" s="0" t="inlineStr">
        <is>
          <t>本テンプレートは、AWS Cost Explorer を利用し、</t>
        </is>
      </c>
    </row>
    <row r="3">
      <c r="A3" s="0" t="inlineStr">
        <is>
          <t>「当月1日から前日までの累計コスト」を取得し、</t>
        </is>
      </c>
    </row>
    <row r="4">
      <c r="A4" s="0" t="inlineStr">
        <is>
          <t>BOM のカスタム監視として利用することを目的としています。</t>
        </is>
      </c>
    </row>
    <row r="5"/>
    <row r="6">
      <c r="A6" s="0" t="inlineStr">
        <is>
          <t>監視は、バッチファイル経由で PowerShell スクリプトを実行し、</t>
        </is>
      </c>
    </row>
    <row r="7">
      <c r="A7" s="0" t="inlineStr">
        <is>
          <t>その標準出力値を監視値として使用します。</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C17" sqref="C17"/>
    </sheetView>
  </sheetViews>
  <sheetFormatPr baseColWidth="8" defaultRowHeight="18.75"/>
  <sheetData>
    <row r="1">
      <c r="A1" s="0" t="inlineStr">
        <is>
          <t>AWSインスタンス</t>
        </is>
      </c>
    </row>
    <row r="2"/>
    <row r="3">
      <c r="A3" s="0" t="inlineStr">
        <is>
          <t>■検証用アカウント(credentialsファイルに記述)</t>
        </is>
      </c>
    </row>
    <row r="4">
      <c r="A4" s="0" t="inlineStr">
        <is>
          <t>[default]</t>
        </is>
      </c>
    </row>
    <row r="5">
      <c r="A5" s="0" t="inlineStr">
        <is>
          <t>aws_access_key_id = TEST_AWS_ACCESS_KEY_ID_DO_NOT_USE</t>
        </is>
      </c>
    </row>
    <row r="6">
      <c r="A6" s="0" t="inlineStr">
        <is>
          <t>aws_secret_access_key = TEST_AWS_SECRET_ACCESS_KEY_DO_NOT_USE</t>
        </is>
      </c>
    </row>
    <row r="7"/>
    <row r="8">
      <c r="A8" s="0" t="inlineStr">
        <is>
          <t>[cost]</t>
        </is>
      </c>
    </row>
    <row r="9">
      <c r="A9" s="0" t="inlineStr">
        <is>
          <t>aws_access_key_id = TEST_AWS_ACCESS_KEY_ID_DO_NOT_USE</t>
        </is>
      </c>
      <c r="B9" s="63" t="n"/>
    </row>
    <row r="10">
      <c r="A10" s="0" t="inlineStr">
        <is>
          <t>aws_secret_access_key = TEST_AWS_SECRET_ACCESS_KEY_DO_NOT_USE</t>
        </is>
      </c>
    </row>
    <row r="11">
      <c r="B11" s="63" t="n"/>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R4"/>
  <sheetViews>
    <sheetView tabSelected="1" zoomScale="70" zoomScaleNormal="70" workbookViewId="0">
      <selection activeCell="A4" sqref="A4"/>
    </sheetView>
  </sheetViews>
  <sheetFormatPr baseColWidth="8" defaultRowHeight="18.75"/>
  <cols>
    <col width="41.875" customWidth="1" style="15" min="1" max="1"/>
    <col width="20.375" customWidth="1" style="15" min="2" max="2"/>
    <col width="56.625" bestFit="1" customWidth="1" style="15" min="3" max="3"/>
    <col width="9.875" bestFit="1" customWidth="1" style="15" min="4" max="4"/>
    <col width="56" customWidth="1" style="15" min="5" max="5"/>
    <col width="9.875" bestFit="1" customWidth="1" style="15" min="6" max="7"/>
    <col width="9.5" bestFit="1" customWidth="1" style="15" min="8" max="8"/>
    <col width="41.875" customWidth="1" style="15" min="9" max="12"/>
    <col width="9.875" bestFit="1" customWidth="1" style="4" min="13" max="13"/>
    <col width="29.875" bestFit="1" customWidth="1" style="4" min="14" max="14"/>
    <col width="55" customWidth="1" style="1" min="15" max="15"/>
    <col width="17.125" bestFit="1" customWidth="1" style="1" min="16" max="16"/>
    <col width="12.875" bestFit="1" customWidth="1" style="1" min="17" max="17"/>
    <col width="35.375" customWidth="1" style="1" min="18" max="18"/>
  </cols>
  <sheetData>
    <row r="1" ht="15" customFormat="1" customHeight="1" s="1">
      <c r="A1" s="1" t="inlineStr">
        <is>
          <t>0999_Windows その他：0104_AWSコスト監視</t>
        </is>
      </c>
      <c r="B1" s="2" t="n"/>
      <c r="C1" s="3" t="n"/>
      <c r="E1" s="2" t="n"/>
      <c r="I1" s="4" t="n"/>
      <c r="J1" s="4" t="n"/>
      <c r="K1" s="4" t="n"/>
      <c r="L1" s="4" t="n"/>
    </row>
    <row r="2" customFormat="1" s="1">
      <c r="A2" s="5" t="n"/>
      <c r="B2" s="10" t="inlineStr">
        <is>
          <t>グループID</t>
        </is>
      </c>
      <c r="C2" s="10" t="inlineStr">
        <is>
          <t>グループ名</t>
        </is>
      </c>
      <c r="D2" s="6" t="inlineStr">
        <is>
          <t>監視設定</t>
        </is>
      </c>
      <c r="E2" s="7" t="n"/>
      <c r="F2" s="7" t="n"/>
      <c r="G2" s="7" t="n"/>
      <c r="H2" s="7" t="n"/>
      <c r="I2" s="7" t="n"/>
      <c r="J2" s="7" t="n"/>
      <c r="K2" s="7" t="n"/>
      <c r="L2" s="8" t="n"/>
      <c r="M2" s="82" t="inlineStr">
        <is>
          <t>アクション設定</t>
        </is>
      </c>
      <c r="N2" s="83" t="n"/>
      <c r="O2" s="83" t="n"/>
      <c r="P2" s="83" t="n"/>
      <c r="Q2" s="83" t="n"/>
      <c r="R2" s="84" t="n"/>
    </row>
    <row r="3" ht="37.5" customFormat="1" customHeight="1" s="4">
      <c r="A3" s="9" t="n"/>
      <c r="B3" s="85" t="n"/>
      <c r="C3" s="85" t="n"/>
      <c r="D3" s="10" t="inlineStr">
        <is>
          <t>監視ID</t>
        </is>
      </c>
      <c r="E3" s="57" t="inlineStr">
        <is>
          <t>監視名</t>
        </is>
      </c>
      <c r="F3" s="10" t="inlineStr">
        <is>
          <t>監視間隔</t>
        </is>
      </c>
      <c r="G3" s="10" t="inlineStr">
        <is>
          <t>有・無効</t>
        </is>
      </c>
      <c r="H3" s="10" t="inlineStr">
        <is>
          <t>N回平均</t>
        </is>
      </c>
      <c r="I3" s="10" t="inlineStr">
        <is>
          <t>注意</t>
        </is>
      </c>
      <c r="J3" s="10" t="inlineStr">
        <is>
          <t>危険</t>
        </is>
      </c>
      <c r="K3" s="10" t="inlineStr">
        <is>
          <t>コメント</t>
        </is>
      </c>
      <c r="L3" s="10" t="inlineStr">
        <is>
          <t>備考</t>
        </is>
      </c>
      <c r="M3" s="59" t="inlineStr">
        <is>
          <t>アクションID</t>
        </is>
      </c>
      <c r="N3" s="59" t="inlineStr">
        <is>
          <t>アクション名</t>
        </is>
      </c>
      <c r="O3" s="59" t="inlineStr">
        <is>
          <t>コメント
ステータス</t>
        </is>
      </c>
      <c r="P3" s="59" t="inlineStr">
        <is>
          <t>監視する
ステータス</t>
        </is>
      </c>
      <c r="Q3" s="59" t="inlineStr">
        <is>
          <t>頻度</t>
        </is>
      </c>
      <c r="R3" s="59" t="inlineStr">
        <is>
          <t>備考</t>
        </is>
      </c>
    </row>
    <row r="4" ht="243.75" customFormat="1" customHeight="1" s="1">
      <c r="A4" s="5" t="n"/>
      <c r="B4" s="65" t="inlineStr">
        <is>
          <t>GRP01</t>
        </is>
      </c>
      <c r="C4" s="64" t="inlineStr">
        <is>
          <t>AWSコスト管理</t>
        </is>
      </c>
      <c r="D4" s="11" t="inlineStr">
        <is>
          <t>MON01</t>
        </is>
      </c>
      <c r="E4" s="58" t="inlineStr">
        <is>
          <t>AWS月コスト監視</t>
        </is>
      </c>
      <c r="F4" s="11" t="inlineStr">
        <is>
          <t>1日</t>
        </is>
      </c>
      <c r="G4" s="11" t="inlineStr">
        <is>
          <t>有効</t>
        </is>
      </c>
      <c r="H4" s="14" t="inlineStr">
        <is>
          <t>-</t>
        </is>
      </c>
      <c r="I4" s="12" t="inlineStr">
        <is>
          <t>500以上</t>
        </is>
      </c>
      <c r="J4" s="12" t="inlineStr">
        <is>
          <t>900以上</t>
        </is>
      </c>
      <c r="K4" s="13" t="n"/>
      <c r="L4" s="13" t="n"/>
      <c r="M4" s="60" t="inlineStr">
        <is>
          <t>act01</t>
        </is>
      </c>
      <c r="N4" s="60" t="inlineStr">
        <is>
          <t>コスト超過通知メール送信</t>
        </is>
      </c>
      <c r="O4" s="61" t="n"/>
      <c r="P4" s="61" t="inlineStr">
        <is>
          <t>注意、危険、失敗</t>
        </is>
      </c>
      <c r="Q4" s="61" t="inlineStr">
        <is>
          <t>毎回</t>
        </is>
      </c>
      <c r="R4" s="62" t="inlineStr">
        <is>
          <t>メール内容は固定。
監視項目 '$(MonitorName)' は $(Status) ステータス を検出しました。 
AWSのコストが$(Value)ドルとなっています。ご注意ください。
--------------------------------
Powered by BOM.
&lt;$(ActionID).BOM@$(FullComputerName)&gt;
On $(CurrentTime)</t>
        </is>
      </c>
    </row>
  </sheetData>
  <mergeCells count="3">
    <mergeCell ref="C2:C3"/>
    <mergeCell ref="M2:R2"/>
    <mergeCell ref="B2:B3"/>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D3" sqref="D3:G20"/>
    </sheetView>
  </sheetViews>
  <sheetFormatPr baseColWidth="8" defaultRowHeight="18.75"/>
  <cols>
    <col width="4.375" bestFit="1" customWidth="1" style="15" min="1" max="1"/>
    <col width="76.75" bestFit="1" customWidth="1" style="15" min="2" max="2"/>
    <col width="67.875" bestFit="1" customWidth="1" style="15" min="3" max="3"/>
    <col width="10.25" bestFit="1" customWidth="1" style="15" min="4" max="4"/>
    <col width="8.75" customWidth="1" style="15" min="5" max="5"/>
    <col width="8.375" customWidth="1" style="15" min="6" max="6"/>
    <col width="30.5" customWidth="1" style="15" min="7" max="7"/>
  </cols>
  <sheetData>
    <row r="1" s="15">
      <c r="B1" s="27" t="inlineStr">
        <is>
          <t>BOM8の最新OS Windows Server 2022 で確認</t>
        </is>
      </c>
      <c r="D1" s="26" t="n"/>
      <c r="E1" s="25" t="n"/>
      <c r="F1" s="25" t="n"/>
    </row>
    <row r="2" s="15">
      <c r="A2" s="22" t="inlineStr">
        <is>
          <t>No.</t>
        </is>
      </c>
      <c r="B2" s="22" t="inlineStr">
        <is>
          <t>チェック内容</t>
        </is>
      </c>
      <c r="C2" s="22" t="inlineStr">
        <is>
          <t>判断基準</t>
        </is>
      </c>
      <c r="D2" s="24" t="inlineStr">
        <is>
          <t>確認日</t>
        </is>
      </c>
      <c r="E2" s="23" t="inlineStr">
        <is>
          <t>確認者</t>
        </is>
      </c>
      <c r="F2" s="23" t="inlineStr">
        <is>
          <t>結果</t>
        </is>
      </c>
      <c r="G2" s="22" t="inlineStr">
        <is>
          <t>備考</t>
        </is>
      </c>
    </row>
    <row r="3" s="15">
      <c r="A3" s="16">
        <f>ROW()-2</f>
        <v/>
      </c>
      <c r="B3" s="16" t="inlineStr">
        <is>
          <t>zipファイル名を確認する</t>
        </is>
      </c>
      <c r="C3" s="16" t="inlineStr">
        <is>
          <t>ファイル名が「BOM8_Template_Pack_yyyymmdd.zip」となっていること</t>
        </is>
      </c>
      <c r="D3" s="18" t="n"/>
      <c r="E3" s="17" t="n"/>
      <c r="F3" s="17" t="n"/>
      <c r="G3" s="16" t="n"/>
    </row>
    <row r="4" s="15">
      <c r="A4" s="16">
        <f>ROW()-2</f>
        <v/>
      </c>
      <c r="B4" s="16" t="inlineStr">
        <is>
          <t>zipファイルを解凍する</t>
        </is>
      </c>
      <c r="C4" s="16" t="inlineStr">
        <is>
          <t>readme、TemplateDataフォルダがあること</t>
        </is>
      </c>
      <c r="D4" s="18" t="n"/>
      <c r="E4" s="17" t="n"/>
      <c r="F4" s="17" t="n"/>
      <c r="G4" s="16" t="n"/>
    </row>
    <row r="5" s="15">
      <c r="A5" s="16">
        <f>ROW()-2</f>
        <v/>
      </c>
      <c r="B5" s="16" t="inlineStr">
        <is>
          <t>TemplateDataフォルダの中身を確認する</t>
        </is>
      </c>
      <c r="C5" s="16" t="inlineStr">
        <is>
          <t>今回追加となるテンプレートのCABファイルとhtmがあること</t>
        </is>
      </c>
      <c r="D5" s="18" t="n"/>
      <c r="E5" s="17" t="n"/>
      <c r="F5" s="17" t="n"/>
      <c r="G5" s="19" t="n"/>
    </row>
    <row r="6" s="15">
      <c r="A6" s="16">
        <f>ROW()-2</f>
        <v/>
      </c>
      <c r="B6" s="71" t="inlineStr">
        <is>
          <t>Readme記載の方法でテンプレートを配置し、今回追加となったテンプレートをインポート</t>
        </is>
      </c>
      <c r="C6" s="16" t="inlineStr">
        <is>
          <t>問題なくインポートできること</t>
        </is>
      </c>
      <c r="D6" s="18" t="n"/>
      <c r="E6" s="17" t="n"/>
      <c r="F6" s="17" t="n"/>
      <c r="G6" s="16" t="n"/>
    </row>
    <row r="7" s="15">
      <c r="A7" s="16">
        <f>ROW()-2</f>
        <v/>
      </c>
      <c r="B7" s="71" t="inlineStr">
        <is>
          <t>htmファイルの内容とインポートされた監視項目を比較</t>
        </is>
      </c>
      <c r="C7" s="16" t="inlineStr">
        <is>
          <t>内容が一致していること</t>
        </is>
      </c>
      <c r="D7" s="18" t="n"/>
      <c r="E7" s="17" t="n"/>
      <c r="F7" s="17" t="n"/>
      <c r="G7" s="16" t="n"/>
    </row>
    <row r="8" s="15">
      <c r="A8" s="16">
        <f>ROW()-2</f>
        <v/>
      </c>
      <c r="B8" s="16" t="inlineStr">
        <is>
          <t>監視を開始</t>
        </is>
      </c>
      <c r="C8" s="19" t="inlineStr">
        <is>
          <t>全ての監視が成功していること</t>
        </is>
      </c>
      <c r="D8" s="18" t="n"/>
      <c r="E8" s="17" t="n"/>
      <c r="F8" s="17" t="n"/>
      <c r="G8" s="16" t="n"/>
    </row>
    <row r="9" s="15">
      <c r="A9" s="16">
        <f>ROW()-2</f>
        <v/>
      </c>
      <c r="B9" s="16" t="inlineStr">
        <is>
          <t>全ての対象サービスを開始して監視を開始</t>
        </is>
      </c>
      <c r="C9" s="19" t="inlineStr">
        <is>
          <t>各サービス監視のステータスが正常であること</t>
        </is>
      </c>
      <c r="D9" s="18" t="n"/>
      <c r="E9" s="17" t="n"/>
      <c r="F9" s="17" t="n"/>
      <c r="G9" s="16" t="n"/>
    </row>
    <row r="10" s="15">
      <c r="A10" s="16">
        <f>ROW()-2</f>
        <v/>
      </c>
      <c r="B10" s="16" t="inlineStr">
        <is>
          <t>全ての対象サービスを停止して監視を開始</t>
        </is>
      </c>
      <c r="C10" s="19" t="inlineStr">
        <is>
          <t>各サービス監視のステータスが注意になっていること</t>
        </is>
      </c>
      <c r="D10" s="18" t="n"/>
      <c r="E10" s="17" t="n"/>
      <c r="F10" s="17" t="n"/>
      <c r="G10" s="16" t="n"/>
    </row>
    <row r="11" s="15">
      <c r="A11" s="16">
        <f>ROW()-2</f>
        <v/>
      </c>
      <c r="B11" s="20" t="inlineStr">
        <is>
          <t>readmeの確認</t>
        </is>
      </c>
      <c r="C11" s="20" t="n"/>
      <c r="D11" s="18" t="n"/>
      <c r="E11" s="17" t="n"/>
      <c r="F11" s="17" t="n"/>
      <c r="G11" s="16" t="n"/>
    </row>
    <row r="12" s="15">
      <c r="A12" s="16">
        <f>ROW()-2</f>
        <v/>
      </c>
      <c r="B12" s="86" t="inlineStr">
        <is>
          <t>Readmeの内容を確認</t>
        </is>
      </c>
      <c r="C12" s="16" t="inlineStr">
        <is>
          <t>動作環境の記載があること</t>
        </is>
      </c>
      <c r="D12" s="18" t="n"/>
      <c r="E12" s="17" t="n"/>
      <c r="F12" s="17" t="n"/>
      <c r="G12" s="16" t="n"/>
    </row>
    <row r="13" s="15">
      <c r="A13" s="16">
        <f>ROW()-2</f>
        <v/>
      </c>
      <c r="B13" s="87" t="n"/>
      <c r="C13" s="16" t="inlineStr">
        <is>
          <t>インストール手順が記載されていること</t>
        </is>
      </c>
      <c r="D13" s="18" t="n"/>
      <c r="E13" s="17" t="n"/>
      <c r="F13" s="17" t="n"/>
      <c r="G13" s="16" t="n"/>
    </row>
    <row r="14" s="15">
      <c r="A14" s="16">
        <f>ROW()-2</f>
        <v/>
      </c>
      <c r="B14" s="87" t="n"/>
      <c r="C14" s="16" t="inlineStr">
        <is>
          <t>記載されているインストール手順に従って、インストールできること</t>
        </is>
      </c>
      <c r="D14" s="18" t="n"/>
      <c r="E14" s="17" t="n"/>
      <c r="F14" s="17" t="n"/>
      <c r="G14" s="16" t="n"/>
    </row>
    <row r="15" s="15">
      <c r="A15" s="16">
        <f>ROW()-2</f>
        <v/>
      </c>
      <c r="B15" s="85" t="n"/>
      <c r="C15" s="16" t="inlineStr">
        <is>
          <t>履歴の記載が正しいこと</t>
        </is>
      </c>
      <c r="D15" s="18" t="n"/>
      <c r="E15" s="17" t="n"/>
      <c r="F15" s="17" t="n"/>
      <c r="G15" s="16" t="n"/>
    </row>
    <row r="16" ht="33" customHeight="1" s="15">
      <c r="A16" s="53" t="n">
        <v>14</v>
      </c>
      <c r="B16" s="54" t="inlineStr">
        <is>
          <t>監視対象の製品名が正しい名称で記載されていることを確認する</t>
        </is>
      </c>
      <c r="C16" s="54" t="inlineStr">
        <is>
          <t>各ファイル名、htm、監視グループ、監視項目、等に使われている製品名が、公式Webサイトで表記されている名称と一致していること</t>
        </is>
      </c>
      <c r="D16" s="56" t="n"/>
      <c r="E16" s="17" t="n"/>
      <c r="F16" s="17" t="n"/>
      <c r="G16" s="55" t="n"/>
    </row>
    <row r="17" ht="33" customHeight="1" s="15">
      <c r="A17" s="53" t="n">
        <v>15</v>
      </c>
      <c r="B17" s="54" t="inlineStr">
        <is>
          <t>サービス監視の対象にしているサービスに漏れがないことを確認する</t>
        </is>
      </c>
      <c r="C17" s="54" t="inlineStr">
        <is>
          <t>サービス一覧の表示名を確認して社名や製品名を含む物が対象になっていること（対象外の物は理由が明確になっていること）</t>
        </is>
      </c>
      <c r="D17" s="56" t="n"/>
      <c r="E17" s="17" t="n"/>
      <c r="F17" s="17" t="n"/>
      <c r="G17" s="53" t="n"/>
    </row>
    <row r="18" ht="33" customHeight="1" s="15">
      <c r="A18" s="53" t="n">
        <v>16</v>
      </c>
      <c r="B18" s="54" t="inlineStr">
        <is>
          <t>イベントログ監視の対象にしているソース/チャネルに漏れが無いことを確認する</t>
        </is>
      </c>
      <c r="C18" s="54" t="inlineStr">
        <is>
          <t>イベントログのソース/チャネルを確認して、社名や製品名を含む物が対象になっていること（対象外の物は理由が明確になっていること）</t>
        </is>
      </c>
      <c r="D18" s="56" t="n"/>
      <c r="E18" s="17" t="n"/>
      <c r="F18" s="17" t="n"/>
      <c r="G18" s="53" t="n"/>
    </row>
    <row r="19" ht="33" customHeight="1" s="15">
      <c r="A19" s="53" t="n">
        <v>17</v>
      </c>
      <c r="B19" s="54" t="inlineStr">
        <is>
          <t>htmの注意書きの記載が適切な内容になっていることを確認する</t>
        </is>
      </c>
      <c r="C19" s="54" t="inlineStr">
        <is>
          <t>Readmeに記載されている注意事項はhtmにも必要（記載が無い場合も必要性がないか確認）</t>
        </is>
      </c>
      <c r="D19" s="56" t="n"/>
      <c r="E19" s="17" t="n"/>
      <c r="F19" s="17" t="n"/>
      <c r="G19" s="53" t="n"/>
    </row>
    <row r="20" ht="33" customHeight="1" s="15">
      <c r="A20" s="53" t="n">
        <v>18</v>
      </c>
      <c r="B20" s="54" t="inlineStr">
        <is>
          <t>サービス監視の有効・無効が適切に設定されていることを確認する</t>
        </is>
      </c>
      <c r="C20" s="54" t="inlineStr">
        <is>
          <t>監視対象製品を標準（初期値）でセットアップした環境で、開始状態にならない物は、監視も無効で設定されていること</t>
        </is>
      </c>
      <c r="D20" s="56" t="n"/>
      <c r="E20" s="17" t="n"/>
      <c r="F20" s="17" t="n"/>
      <c r="G20" s="53" t="n"/>
    </row>
  </sheetData>
  <mergeCells count="1">
    <mergeCell ref="B12:B15"/>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G11"/>
  <sheetViews>
    <sheetView zoomScale="85" zoomScaleNormal="85" workbookViewId="0">
      <selection activeCell="D11" sqref="D11:F11"/>
    </sheetView>
  </sheetViews>
  <sheetFormatPr baseColWidth="8" defaultRowHeight="18.75"/>
  <cols>
    <col width="5.25" bestFit="1" customWidth="1" style="28" min="1" max="1"/>
    <col width="34.75" customWidth="1" style="28" min="2" max="2"/>
    <col width="57.625" bestFit="1" customWidth="1" style="28" min="3" max="3"/>
    <col width="14.25" customWidth="1" style="29" min="4" max="4"/>
    <col width="9.25" customWidth="1" style="28" min="5" max="5"/>
    <col width="9" customWidth="1" style="28" min="6" max="6"/>
    <col width="40.75" customWidth="1" style="28" min="7" max="7"/>
    <col width="9" customWidth="1" style="28" min="8" max="16384"/>
  </cols>
  <sheetData>
    <row r="1"/>
    <row r="2" ht="24" customHeight="1" s="15">
      <c r="B2" s="49" t="inlineStr">
        <is>
          <t>マーケティング部 チェックリスト</t>
        </is>
      </c>
      <c r="E2" s="48" t="n"/>
      <c r="F2" s="47" t="inlineStr">
        <is>
          <t>ﾁｪｯｸﾘｽﾄ作成日</t>
        </is>
      </c>
      <c r="G2" s="46" t="n"/>
    </row>
    <row r="3" ht="24.75" customHeight="1" s="15" thickBot="1">
      <c r="B3" s="45" t="n"/>
      <c r="E3" s="42" t="n"/>
      <c r="F3" s="44" t="inlineStr">
        <is>
          <t>ﾁｪｯｸﾘｽﾄ作成者</t>
        </is>
      </c>
      <c r="G3" s="40" t="inlineStr">
        <is>
          <t>内田</t>
        </is>
      </c>
    </row>
    <row r="4">
      <c r="B4" s="88" t="inlineStr">
        <is>
          <t>追加が難しいサービスについては、
別シート「サービス追加方法」を参考に同名のサービスを追加する</t>
        </is>
      </c>
      <c r="C4" s="89" t="n"/>
      <c r="E4" s="43" t="n"/>
    </row>
    <row r="5">
      <c r="B5" s="90" t="n"/>
      <c r="C5" s="91" t="n"/>
      <c r="E5" s="42" t="n"/>
      <c r="F5" s="41" t="inlineStr">
        <is>
          <t>ﾁｪｯｸOSバージョン</t>
        </is>
      </c>
      <c r="G5" s="40" t="n"/>
    </row>
    <row r="6" ht="19.5" customHeight="1" s="15" thickBot="1">
      <c r="B6" s="92" t="n"/>
      <c r="C6" s="93" t="n"/>
    </row>
    <row r="7">
      <c r="B7" s="39" t="n"/>
      <c r="F7" s="28" t="inlineStr">
        <is>
          <t>結果は「OK」か「NG」で記載</t>
        </is>
      </c>
    </row>
    <row r="8">
      <c r="A8" s="37" t="inlineStr">
        <is>
          <t>No.</t>
        </is>
      </c>
      <c r="B8" s="37" t="inlineStr">
        <is>
          <t>チェック内容</t>
        </is>
      </c>
      <c r="C8" s="37" t="inlineStr">
        <is>
          <t>検出されるテンプレート</t>
        </is>
      </c>
      <c r="D8" s="38" t="inlineStr">
        <is>
          <t>確認日</t>
        </is>
      </c>
      <c r="E8" s="37" t="inlineStr">
        <is>
          <t>確認者</t>
        </is>
      </c>
      <c r="F8" s="37" t="inlineStr">
        <is>
          <t>結果</t>
        </is>
      </c>
      <c r="G8" s="37" t="inlineStr">
        <is>
          <t>備考</t>
        </is>
      </c>
    </row>
    <row r="9" ht="18.75" customHeight="1" s="15">
      <c r="A9" s="33">
        <f>ROW()-8</f>
        <v/>
      </c>
      <c r="B9" s="80" t="inlineStr">
        <is>
          <t>1. ソフトウェア名に
    - "Arcserve Unified Data Protection"
が入っている状態にする
2. インスタンス作成ウィザードのテンプレート自動検出ボタンを押す</t>
        </is>
      </c>
      <c r="C9" s="36" t="inlineStr">
        <is>
          <t>0234_Arcserve UDP 9.0 監視</t>
        </is>
      </c>
      <c r="D9" s="35" t="n"/>
      <c r="E9" s="35" t="n"/>
      <c r="F9" s="35" t="n"/>
      <c r="G9" s="34" t="n"/>
    </row>
    <row r="10" ht="188.25" customHeight="1" s="15">
      <c r="A10" s="33">
        <f>ROW()-8</f>
        <v/>
      </c>
      <c r="B10" s="87" t="n"/>
      <c r="C10" s="31" t="inlineStr">
        <is>
          <t>自動検出されたテンプレートのインポートに表示されること</t>
        </is>
      </c>
      <c r="D10" s="18" t="n">
        <v>45077</v>
      </c>
      <c r="E10" s="17" t="inlineStr">
        <is>
          <t>内田</t>
        </is>
      </c>
      <c r="F10" s="17" t="inlineStr">
        <is>
          <t>OK</t>
        </is>
      </c>
      <c r="G10" s="30" t="n"/>
    </row>
    <row r="11" ht="37.5" customHeight="1" s="15">
      <c r="A11" s="33">
        <f>ROW()-8</f>
        <v/>
      </c>
      <c r="B11" s="32" t="n"/>
      <c r="C11" s="31" t="inlineStr">
        <is>
          <t>自動検出されたテンプレートのインポートでチェックを入れて「インポート」を押すと「インポートデータ」に表示されること</t>
        </is>
      </c>
      <c r="D11" s="18" t="n">
        <v>45077</v>
      </c>
      <c r="E11" s="17" t="inlineStr">
        <is>
          <t>内田</t>
        </is>
      </c>
      <c r="F11" s="17" t="inlineStr">
        <is>
          <t>OK</t>
        </is>
      </c>
      <c r="G11" s="30" t="n"/>
    </row>
  </sheetData>
  <mergeCells count="2">
    <mergeCell ref="B4:C6"/>
    <mergeCell ref="B9:B10"/>
  </mergeCells>
  <pageMargins left="0.7" right="0.7" top="0.75" bottom="0.75" header="0.3" footer="0.3"/>
  <pageSetup orientation="portrait" paperSize="9" horizontalDpi="1200" verticalDpi="1200"/>
</worksheet>
</file>

<file path=xl/worksheets/sheet6.xml><?xml version="1.0" encoding="utf-8"?>
<worksheet xmlns="http://schemas.openxmlformats.org/spreadsheetml/2006/main">
  <sheetPr>
    <outlinePr summaryBelow="1" summaryRight="1"/>
    <pageSetUpPr/>
  </sheetPr>
  <dimension ref="A1:B9"/>
  <sheetViews>
    <sheetView workbookViewId="0">
      <selection activeCell="C10" sqref="C10"/>
    </sheetView>
  </sheetViews>
  <sheetFormatPr baseColWidth="8" defaultRowHeight="18.75"/>
  <cols>
    <col width="9" customWidth="1" style="28" min="1" max="1"/>
    <col width="74" customWidth="1" style="28" min="2" max="2"/>
    <col width="9" customWidth="1" style="28" min="3" max="16384"/>
  </cols>
  <sheetData>
    <row r="1"/>
    <row r="2">
      <c r="B2" s="28" t="inlineStr">
        <is>
          <t>参考にしたページ</t>
        </is>
      </c>
    </row>
    <row r="3">
      <c r="B3" s="52" t="inlineStr">
        <is>
          <t>https://www.moongift.jp/2014/03/winsw-%E4%BB%BB%E6%84%8F%E3%81%AE%E3%83%97%E3%83%AD%E3%82%B0%E3%83%A9%E3%83%A0%E3%82%92windows%E3%81%AE%E3%82%B5%E3%83%BC%E3%83%93%E3%82%B9%E3%81%AB/</t>
        </is>
      </c>
    </row>
    <row r="4"/>
    <row r="5" ht="56.25" customHeight="1" s="15">
      <c r="B5" s="50" t="inlineStr">
        <is>
          <t>①デスクトップに以下のフォルダごとコピー
I:\BOMリリース関連\BOM マスターイメージ\8.0\01_8.0.0.0\テンプレート\テンプレートチェックリスト\AutoTemplate.yml\テストに使用するツール\test</t>
        </is>
      </c>
    </row>
    <row r="6">
      <c r="B6" s="28" t="inlineStr">
        <is>
          <t>②フォルダ内prg.xmlを開き、赤字の部分を作成したいサービス名に編集</t>
        </is>
      </c>
    </row>
    <row r="7" ht="206.25" customHeight="1" s="15">
      <c r="B7" s="50" t="inlineStr">
        <is>
          <t>&lt;service&gt;
  &lt;id&gt;jenkins&lt;/id&gt;
  &lt;name&gt;Jenkins&lt;/name&gt;
  &lt;description&gt;This service runs Jenkins continuous integration system.&lt;/description&gt;
  &lt;env name="JENKINS_HOME" value="%BASE%"/&gt;
  &lt;executable&gt;java&lt;/executable&gt;
  &lt;arguments&gt;-Xrs -Xmx256m -jar "%BASE%\jenkins.war" --httpPort=8080&lt;/arguments&gt;
  &lt;logmode&gt;rotate&lt;/logmode&gt;
&lt;/service&gt;</t>
        </is>
      </c>
    </row>
    <row r="8" ht="69.75" customHeight="1" s="15">
      <c r="B8" s="51" t="inlineStr">
        <is>
          <t>③フォルダ内のprg.exeで登録、削除は以下を実行
登録　→　 prg.exe install
削除　→　 prg.exe uninstall</t>
        </is>
      </c>
    </row>
    <row r="9">
      <c r="B9" s="50" t="inlineStr">
        <is>
          <t>④サービス一覧を開き、サービスが追加されているか確認</t>
        </is>
      </c>
    </row>
  </sheetData>
  <hyperlinks>
    <hyperlink xmlns:r="http://schemas.openxmlformats.org/officeDocument/2006/relationships" ref="B3"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内田 光哉</dc:creator>
  <dcterms:created xsi:type="dcterms:W3CDTF">2023-04-18T03:26:47Z</dcterms:created>
  <dcterms:modified xsi:type="dcterms:W3CDTF">2026-10-02T06:17:46Z</dcterms:modified>
  <cp:lastModifiedBy>内田 光哉</cp:lastModifiedBy>
</cp:coreProperties>
</file>